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mpSci\"/>
    </mc:Choice>
  </mc:AlternateContent>
  <xr:revisionPtr revIDLastSave="0" documentId="8_{5A4AA31F-56A6-4678-B481-DF406DF8787D}" xr6:coauthVersionLast="36" xr6:coauthVersionMax="36" xr10:uidLastSave="{00000000-0000-0000-0000-000000000000}"/>
  <bookViews>
    <workbookView xWindow="0" yWindow="0" windowWidth="28800" windowHeight="12105" xr2:uid="{D13800F9-1656-481F-AB92-CFE4065A7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L14" i="1"/>
  <c r="L13" i="1"/>
  <c r="L12" i="1"/>
  <c r="L11" i="1"/>
  <c r="H14" i="1"/>
  <c r="M14" i="1" s="1"/>
  <c r="H13" i="1"/>
  <c r="M13" i="1" s="1"/>
  <c r="H12" i="1"/>
  <c r="M12" i="1" s="1"/>
  <c r="M11" i="1" l="1"/>
  <c r="M17" i="1"/>
  <c r="M19" i="1" s="1"/>
  <c r="M28" i="1" l="1"/>
  <c r="M30" i="1" s="1"/>
  <c r="M21" i="1"/>
  <c r="O21" i="1" s="1"/>
  <c r="M22" i="1" l="1"/>
  <c r="O22" i="1" s="1"/>
  <c r="M23" i="1" s="1"/>
</calcChain>
</file>

<file path=xl/sharedStrings.xml><?xml version="1.0" encoding="utf-8"?>
<sst xmlns="http://schemas.openxmlformats.org/spreadsheetml/2006/main" count="31" uniqueCount="29">
  <si>
    <t xml:space="preserve">walls (1 to 20) </t>
  </si>
  <si>
    <t xml:space="preserve">one litre </t>
  </si>
  <si>
    <t xml:space="preserve">door area </t>
  </si>
  <si>
    <t xml:space="preserve">labour cost per metre </t>
  </si>
  <si>
    <t>wall num</t>
  </si>
  <si>
    <t>wall len</t>
  </si>
  <si>
    <t>wall wid</t>
  </si>
  <si>
    <t>wall area</t>
  </si>
  <si>
    <t>door</t>
  </si>
  <si>
    <t>wind len</t>
  </si>
  <si>
    <t>wind wid</t>
  </si>
  <si>
    <t>wind area</t>
  </si>
  <si>
    <t>paint area</t>
  </si>
  <si>
    <t>yes</t>
  </si>
  <si>
    <t>total area of paint:</t>
  </si>
  <si>
    <t>litres of paint required:</t>
  </si>
  <si>
    <t>number of 5l:</t>
  </si>
  <si>
    <t>number of 3l:</t>
  </si>
  <si>
    <t>number of 2l:</t>
  </si>
  <si>
    <t xml:space="preserve">number of 1l: </t>
  </si>
  <si>
    <t>cost of paint:</t>
  </si>
  <si>
    <t>cost of labor:</t>
  </si>
  <si>
    <t>total cost:</t>
  </si>
  <si>
    <t>no</t>
  </si>
  <si>
    <t>5l=50</t>
  </si>
  <si>
    <t>3l=35</t>
  </si>
  <si>
    <t>2l=25</t>
  </si>
  <si>
    <t>1l=15</t>
  </si>
  <si>
    <t>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</si>
</sst>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9">
    <xf numFmtId="0" fontId="0" fillId="0" borderId="0" xfId="0"/>
    <xf numFmtId="0" fontId="1" fillId="4" borderId="0" xfId="3" applyBorder="1"/>
    <xf numFmtId="0" fontId="1" fillId="4" borderId="3" xfId="3" applyBorder="1"/>
    <xf numFmtId="0" fontId="1" fillId="4" borderId="6" xfId="3" applyBorder="1"/>
    <xf numFmtId="0" fontId="1" fillId="3" borderId="2" xfId="2" applyBorder="1"/>
    <xf numFmtId="0" fontId="1" fillId="3" borderId="3" xfId="2" applyBorder="1"/>
    <xf numFmtId="0" fontId="1" fillId="5" borderId="4" xfId="4" applyBorder="1"/>
    <xf numFmtId="0" fontId="1" fillId="3" borderId="11" xfId="2" applyBorder="1"/>
    <xf numFmtId="0" fontId="1" fillId="3" borderId="5" xfId="2" applyBorder="1"/>
    <xf numFmtId="0" fontId="1" fillId="3" borderId="0" xfId="2" applyBorder="1"/>
    <xf numFmtId="0" fontId="1" fillId="3" borderId="6" xfId="2" applyBorder="1"/>
    <xf numFmtId="0" fontId="1" fillId="5" borderId="12" xfId="4" applyBorder="1"/>
    <xf numFmtId="0" fontId="1" fillId="5" borderId="7" xfId="4" applyBorder="1"/>
    <xf numFmtId="0" fontId="2" fillId="2" borderId="0" xfId="1" applyBorder="1"/>
    <xf numFmtId="0" fontId="2" fillId="2" borderId="2" xfId="1" applyBorder="1"/>
    <xf numFmtId="0" fontId="2" fillId="2" borderId="3" xfId="1" applyBorder="1"/>
    <xf numFmtId="0" fontId="2" fillId="2" borderId="4" xfId="1" applyBorder="1"/>
    <xf numFmtId="0" fontId="2" fillId="2" borderId="11" xfId="1" applyBorder="1"/>
    <xf numFmtId="0" fontId="2" fillId="2" borderId="12" xfId="1" applyBorder="1"/>
    <xf numFmtId="0" fontId="2" fillId="2" borderId="5" xfId="1" applyBorder="1"/>
    <xf numFmtId="0" fontId="2" fillId="2" borderId="6" xfId="1" applyBorder="1"/>
    <xf numFmtId="0" fontId="2" fillId="2" borderId="7" xfId="1" applyBorder="1"/>
    <xf numFmtId="0" fontId="0" fillId="6" borderId="8" xfId="5" applyFont="1" applyBorder="1"/>
    <xf numFmtId="0" fontId="1" fillId="6" borderId="9" xfId="5" applyBorder="1"/>
    <xf numFmtId="0" fontId="1" fillId="6" borderId="10" xfId="5" applyBorder="1"/>
    <xf numFmtId="0" fontId="1" fillId="6" borderId="8" xfId="5" applyBorder="1"/>
    <xf numFmtId="0" fontId="1" fillId="8" borderId="13" xfId="7" applyBorder="1"/>
    <xf numFmtId="0" fontId="1" fillId="7" borderId="3" xfId="6" applyBorder="1"/>
    <xf numFmtId="0" fontId="1" fillId="7" borderId="13" xfId="6" applyBorder="1"/>
    <xf numFmtId="0" fontId="1" fillId="8" borderId="14" xfId="7" applyBorder="1"/>
    <xf numFmtId="0" fontId="1" fillId="8" borderId="3" xfId="7" applyBorder="1"/>
    <xf numFmtId="0" fontId="1" fillId="7" borderId="4" xfId="6" applyBorder="1"/>
    <xf numFmtId="0" fontId="1" fillId="8" borderId="5" xfId="7" applyBorder="1"/>
    <xf numFmtId="0" fontId="1" fillId="8" borderId="15" xfId="7" applyBorder="1"/>
    <xf numFmtId="0" fontId="1" fillId="7" borderId="6" xfId="6" applyBorder="1"/>
    <xf numFmtId="0" fontId="1" fillId="7" borderId="15" xfId="6" applyBorder="1"/>
    <xf numFmtId="0" fontId="1" fillId="8" borderId="6" xfId="7" applyBorder="1"/>
    <xf numFmtId="0" fontId="1" fillId="7" borderId="7" xfId="6" applyBorder="1"/>
    <xf numFmtId="0" fontId="0" fillId="8" borderId="2" xfId="7" applyFont="1" applyBorder="1"/>
  </cellXfs>
  <cellStyles count="8">
    <cellStyle name="20% - Accent1" xfId="2" builtinId="30"/>
    <cellStyle name="40% - Accent1" xfId="3" builtinId="31"/>
    <cellStyle name="40% - Accent6" xfId="6" builtinId="51"/>
    <cellStyle name="60% - Accent1" xfId="4" builtinId="32"/>
    <cellStyle name="60% - Accent2" xfId="5" builtinId="36"/>
    <cellStyle name="60% - Accent6" xfId="7" builtinId="5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ECB9-C5FA-411C-88BD-9D92E839F3D3}">
  <dimension ref="E5:P30"/>
  <sheetViews>
    <sheetView tabSelected="1" topLeftCell="C3" workbookViewId="0">
      <selection activeCell="S17" sqref="S17"/>
    </sheetView>
  </sheetViews>
  <sheetFormatPr defaultRowHeight="15" x14ac:dyDescent="0.25"/>
  <sheetData>
    <row r="5" spans="5:16" ht="15.75" thickBot="1" x14ac:dyDescent="0.3"/>
    <row r="6" spans="5:16" x14ac:dyDescent="0.25">
      <c r="E6" s="38" t="s">
        <v>0</v>
      </c>
      <c r="F6" s="26"/>
      <c r="G6" s="27">
        <v>10</v>
      </c>
      <c r="H6" s="28"/>
      <c r="I6" s="29" t="s">
        <v>2</v>
      </c>
      <c r="J6" s="29"/>
      <c r="K6" s="27">
        <v>2.5</v>
      </c>
      <c r="L6" s="28"/>
      <c r="M6" s="30" t="s">
        <v>3</v>
      </c>
      <c r="N6" s="30"/>
      <c r="O6" s="26"/>
      <c r="P6" s="31">
        <v>3</v>
      </c>
    </row>
    <row r="7" spans="5:16" ht="15.75" thickBot="1" x14ac:dyDescent="0.3">
      <c r="E7" s="32" t="s">
        <v>1</v>
      </c>
      <c r="F7" s="33"/>
      <c r="G7" s="34">
        <v>5</v>
      </c>
      <c r="H7" s="35"/>
      <c r="I7" s="36"/>
      <c r="J7" s="33"/>
      <c r="K7" s="34"/>
      <c r="L7" s="35"/>
      <c r="M7" s="36"/>
      <c r="N7" s="36"/>
      <c r="O7" s="33"/>
      <c r="P7" s="37"/>
    </row>
    <row r="9" spans="5:16" ht="15.75" thickBot="1" x14ac:dyDescent="0.3"/>
    <row r="10" spans="5:16" x14ac:dyDescent="0.25">
      <c r="E10" s="4" t="s">
        <v>4</v>
      </c>
      <c r="F10" s="5" t="s">
        <v>5</v>
      </c>
      <c r="G10" s="5" t="s">
        <v>6</v>
      </c>
      <c r="H10" s="2" t="s">
        <v>7</v>
      </c>
      <c r="I10" s="5" t="s">
        <v>8</v>
      </c>
      <c r="J10" s="5" t="s">
        <v>9</v>
      </c>
      <c r="K10" s="5" t="s">
        <v>10</v>
      </c>
      <c r="L10" s="2" t="s">
        <v>11</v>
      </c>
      <c r="M10" s="6" t="s">
        <v>12</v>
      </c>
      <c r="O10" s="25" t="s">
        <v>24</v>
      </c>
    </row>
    <row r="11" spans="5:16" x14ac:dyDescent="0.25">
      <c r="E11" s="7">
        <v>1</v>
      </c>
      <c r="F11" s="9">
        <v>8</v>
      </c>
      <c r="G11" s="9">
        <v>6</v>
      </c>
      <c r="H11" s="1">
        <f>F11*G11</f>
        <v>48</v>
      </c>
      <c r="I11" s="9" t="s">
        <v>13</v>
      </c>
      <c r="J11" s="9">
        <v>3</v>
      </c>
      <c r="K11" s="9">
        <v>2</v>
      </c>
      <c r="L11" s="1">
        <f>J11*K11</f>
        <v>6</v>
      </c>
      <c r="M11" s="11">
        <f>H11-L11-K6</f>
        <v>39.5</v>
      </c>
      <c r="O11" s="23" t="s">
        <v>25</v>
      </c>
    </row>
    <row r="12" spans="5:16" x14ac:dyDescent="0.25">
      <c r="E12" s="7">
        <v>2</v>
      </c>
      <c r="F12" s="9">
        <v>7</v>
      </c>
      <c r="G12" s="9">
        <v>5</v>
      </c>
      <c r="H12" s="1">
        <f>F12*G12</f>
        <v>35</v>
      </c>
      <c r="I12" s="9" t="s">
        <v>23</v>
      </c>
      <c r="J12" s="9">
        <v>2</v>
      </c>
      <c r="K12" s="9">
        <v>3</v>
      </c>
      <c r="L12" s="1">
        <f>J12*K12</f>
        <v>6</v>
      </c>
      <c r="M12" s="11">
        <f>H12-L12</f>
        <v>29</v>
      </c>
      <c r="O12" s="23" t="s">
        <v>26</v>
      </c>
    </row>
    <row r="13" spans="5:16" ht="15.75" thickBot="1" x14ac:dyDescent="0.3">
      <c r="E13" s="7">
        <v>3</v>
      </c>
      <c r="F13" s="9">
        <v>9</v>
      </c>
      <c r="G13" s="9">
        <v>5</v>
      </c>
      <c r="H13" s="1">
        <f>F13*G13</f>
        <v>45</v>
      </c>
      <c r="I13" s="9" t="s">
        <v>23</v>
      </c>
      <c r="J13" s="9">
        <v>3</v>
      </c>
      <c r="K13" s="9">
        <v>2</v>
      </c>
      <c r="L13" s="1">
        <f>J13*K13</f>
        <v>6</v>
      </c>
      <c r="M13" s="11">
        <f>H13-L13</f>
        <v>39</v>
      </c>
      <c r="O13" s="24" t="s">
        <v>27</v>
      </c>
    </row>
    <row r="14" spans="5:16" ht="15.75" thickBot="1" x14ac:dyDescent="0.3">
      <c r="E14" s="8">
        <v>4</v>
      </c>
      <c r="F14" s="10">
        <v>10</v>
      </c>
      <c r="G14" s="10">
        <v>6</v>
      </c>
      <c r="H14" s="3">
        <f>F14*G14</f>
        <v>60</v>
      </c>
      <c r="I14" s="10" t="s">
        <v>13</v>
      </c>
      <c r="J14" s="10">
        <v>2.5</v>
      </c>
      <c r="K14" s="10">
        <v>2</v>
      </c>
      <c r="L14" s="3">
        <f>J14*K14</f>
        <v>5</v>
      </c>
      <c r="M14" s="12">
        <f>H14-L14-K6</f>
        <v>52.5</v>
      </c>
    </row>
    <row r="16" spans="5:16" ht="15.75" thickBot="1" x14ac:dyDescent="0.3"/>
    <row r="17" spans="5:15" x14ac:dyDescent="0.25">
      <c r="E17" s="14" t="s">
        <v>14</v>
      </c>
      <c r="F17" s="15"/>
      <c r="G17" s="15"/>
      <c r="H17" s="15"/>
      <c r="I17" s="15"/>
      <c r="J17" s="15"/>
      <c r="K17" s="15"/>
      <c r="L17" s="15"/>
      <c r="M17" s="16">
        <f>M11+M12+M13+M14</f>
        <v>160</v>
      </c>
    </row>
    <row r="18" spans="5:15" x14ac:dyDescent="0.25">
      <c r="E18" s="17"/>
      <c r="F18" s="13"/>
      <c r="G18" s="13"/>
      <c r="H18" s="13"/>
      <c r="I18" s="13"/>
      <c r="J18" s="13"/>
      <c r="K18" s="13"/>
      <c r="L18" s="13"/>
      <c r="M18" s="18"/>
    </row>
    <row r="19" spans="5:15" ht="15.75" thickBot="1" x14ac:dyDescent="0.3">
      <c r="E19" s="17" t="s">
        <v>15</v>
      </c>
      <c r="F19" s="13"/>
      <c r="G19" s="13"/>
      <c r="H19" s="13"/>
      <c r="I19" s="13"/>
      <c r="J19" s="13"/>
      <c r="K19" s="13"/>
      <c r="L19" s="13"/>
      <c r="M19" s="18">
        <f>M17/G7</f>
        <v>32</v>
      </c>
    </row>
    <row r="20" spans="5:15" x14ac:dyDescent="0.25">
      <c r="E20" s="17"/>
      <c r="F20" s="13"/>
      <c r="G20" s="13"/>
      <c r="H20" s="13"/>
      <c r="I20" s="13"/>
      <c r="J20" s="13"/>
      <c r="K20" s="13"/>
      <c r="L20" s="13"/>
      <c r="M20" s="18"/>
      <c r="O20" s="22" t="s">
        <v>28</v>
      </c>
    </row>
    <row r="21" spans="5:15" x14ac:dyDescent="0.25">
      <c r="E21" s="17" t="s">
        <v>16</v>
      </c>
      <c r="F21" s="13"/>
      <c r="G21" s="13"/>
      <c r="H21" s="13"/>
      <c r="I21" s="13"/>
      <c r="J21" s="13"/>
      <c r="K21" s="13"/>
      <c r="L21" s="13"/>
      <c r="M21" s="18">
        <f>ROUNDDOWN(M19/5,0)</f>
        <v>6</v>
      </c>
      <c r="O21" s="23">
        <f>M19-(M21*5)</f>
        <v>2</v>
      </c>
    </row>
    <row r="22" spans="5:15" x14ac:dyDescent="0.25">
      <c r="E22" s="17" t="s">
        <v>17</v>
      </c>
      <c r="F22" s="13"/>
      <c r="G22" s="13"/>
      <c r="H22" s="13"/>
      <c r="I22" s="13"/>
      <c r="J22" s="13"/>
      <c r="K22" s="13"/>
      <c r="L22" s="13"/>
      <c r="M22" s="18">
        <f>ROUNDDOWN(O21/3,0)</f>
        <v>0</v>
      </c>
      <c r="O22" s="23">
        <f>O21-(M22*3)</f>
        <v>2</v>
      </c>
    </row>
    <row r="23" spans="5:15" x14ac:dyDescent="0.25">
      <c r="E23" s="17" t="s">
        <v>18</v>
      </c>
      <c r="F23" s="13"/>
      <c r="G23" s="13"/>
      <c r="H23" s="13"/>
      <c r="I23" s="13"/>
      <c r="J23" s="13"/>
      <c r="K23" s="13"/>
      <c r="L23" s="13"/>
      <c r="M23" s="18">
        <f>ROUNDDOWN(O22/2,0)</f>
        <v>1</v>
      </c>
      <c r="O23" s="23">
        <v>0</v>
      </c>
    </row>
    <row r="24" spans="5:15" ht="15.75" thickBot="1" x14ac:dyDescent="0.3">
      <c r="E24" s="17" t="s">
        <v>19</v>
      </c>
      <c r="F24" s="13"/>
      <c r="G24" s="13"/>
      <c r="H24" s="13"/>
      <c r="I24" s="13"/>
      <c r="J24" s="13"/>
      <c r="K24" s="13"/>
      <c r="L24" s="13"/>
      <c r="M24" s="18">
        <v>0</v>
      </c>
      <c r="O24" s="24">
        <v>0</v>
      </c>
    </row>
    <row r="25" spans="5:15" x14ac:dyDescent="0.25">
      <c r="E25" s="17"/>
      <c r="F25" s="13"/>
      <c r="G25" s="13"/>
      <c r="H25" s="13"/>
      <c r="I25" s="13"/>
      <c r="J25" s="13"/>
      <c r="K25" s="13"/>
      <c r="L25" s="13"/>
      <c r="M25" s="18"/>
    </row>
    <row r="26" spans="5:15" x14ac:dyDescent="0.25">
      <c r="E26" s="17" t="s">
        <v>20</v>
      </c>
      <c r="F26" s="13"/>
      <c r="G26" s="13"/>
      <c r="H26" s="13"/>
      <c r="I26" s="13"/>
      <c r="J26" s="13"/>
      <c r="K26" s="13"/>
      <c r="L26" s="13"/>
      <c r="M26" s="18">
        <v>85</v>
      </c>
    </row>
    <row r="27" spans="5:15" x14ac:dyDescent="0.25">
      <c r="E27" s="17"/>
      <c r="F27" s="13"/>
      <c r="G27" s="13"/>
      <c r="H27" s="13"/>
      <c r="I27" s="13"/>
      <c r="J27" s="13"/>
      <c r="K27" s="13"/>
      <c r="L27" s="13"/>
      <c r="M27" s="18"/>
    </row>
    <row r="28" spans="5:15" x14ac:dyDescent="0.25">
      <c r="E28" s="17" t="s">
        <v>21</v>
      </c>
      <c r="F28" s="13"/>
      <c r="G28" s="13"/>
      <c r="H28" s="13"/>
      <c r="I28" s="13"/>
      <c r="J28" s="13"/>
      <c r="K28" s="13"/>
      <c r="L28" s="13"/>
      <c r="M28" s="18">
        <f>P6*M17</f>
        <v>480</v>
      </c>
    </row>
    <row r="29" spans="5:15" x14ac:dyDescent="0.25">
      <c r="E29" s="17"/>
      <c r="F29" s="13"/>
      <c r="G29" s="13"/>
      <c r="H29" s="13"/>
      <c r="I29" s="13"/>
      <c r="J29" s="13"/>
      <c r="K29" s="13"/>
      <c r="L29" s="13"/>
      <c r="M29" s="18"/>
    </row>
    <row r="30" spans="5:15" ht="15.75" thickBot="1" x14ac:dyDescent="0.3">
      <c r="E30" s="19" t="s">
        <v>22</v>
      </c>
      <c r="F30" s="20"/>
      <c r="G30" s="20"/>
      <c r="H30" s="20"/>
      <c r="I30" s="20"/>
      <c r="J30" s="20"/>
      <c r="K30" s="20"/>
      <c r="L30" s="20"/>
      <c r="M30" s="21">
        <f>M26+M28</f>
        <v>565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210405</dc:creator>
  <cp:lastModifiedBy>210405</cp:lastModifiedBy>
  <dcterms:created xsi:type="dcterms:W3CDTF">2025-09-16T08:47:14Z</dcterms:created>
  <dcterms:modified xsi:type="dcterms:W3CDTF">2025-09-16T12:09:40Z</dcterms:modified>
</cp:coreProperties>
</file>